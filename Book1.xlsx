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Data Analyst\excel\project 1\The Executive Sales Performance Dashboard\"/>
    </mc:Choice>
  </mc:AlternateContent>
  <xr:revisionPtr revIDLastSave="0" documentId="13_ncr:1_{50AAD1A9-CA09-4B7A-88CA-C27AE881132D}" xr6:coauthVersionLast="47" xr6:coauthVersionMax="47" xr10:uidLastSave="{00000000-0000-0000-0000-000000000000}"/>
  <bookViews>
    <workbookView xWindow="-108" yWindow="-108" windowWidth="23256" windowHeight="12456" activeTab="1" xr2:uid="{167FCDA8-C476-4F02-B9B1-2309B73B9140}"/>
  </bookViews>
  <sheets>
    <sheet name="Sheet1" sheetId="1" r:id="rId1"/>
    <sheet name="Engine" sheetId="2" r:id="rId2"/>
    <sheet name="Dashboard" sheetId="3" r:id="rId3"/>
  </sheets>
  <definedNames>
    <definedName name="NativeTimeline_Date">#N/A</definedName>
    <definedName name="Slicer_Category">#N/A</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 i="1"/>
  <c r="K3" i="1"/>
  <c r="K4" i="1"/>
  <c r="K5" i="1"/>
  <c r="K6" i="1"/>
  <c r="K7" i="1"/>
  <c r="K8" i="1"/>
  <c r="K9" i="1"/>
  <c r="K10" i="1"/>
  <c r="K11" i="1"/>
  <c r="K12" i="1"/>
  <c r="K13" i="1"/>
  <c r="K14" i="1"/>
  <c r="K15" i="1"/>
  <c r="K16" i="1"/>
  <c r="K17" i="1"/>
  <c r="K18" i="1"/>
  <c r="K19" i="1"/>
  <c r="K20" i="1"/>
  <c r="K21" i="1"/>
  <c r="K2" i="1"/>
  <c r="J3" i="1"/>
  <c r="J4" i="1"/>
  <c r="J5" i="1"/>
  <c r="J6" i="1"/>
  <c r="J7" i="1"/>
  <c r="J8" i="1"/>
  <c r="J9" i="1"/>
  <c r="J10" i="1"/>
  <c r="J11" i="1"/>
  <c r="J12" i="1"/>
  <c r="J13" i="1"/>
  <c r="J14" i="1"/>
  <c r="J15" i="1"/>
  <c r="J16" i="1"/>
  <c r="J17" i="1"/>
  <c r="J18" i="1"/>
  <c r="J19" i="1"/>
  <c r="J20" i="1"/>
  <c r="J21" i="1"/>
  <c r="J2" i="1"/>
  <c r="D3" i="1"/>
  <c r="D4" i="1"/>
  <c r="D5" i="1"/>
  <c r="D6" i="1"/>
  <c r="D7" i="1"/>
  <c r="D8" i="1"/>
  <c r="D9" i="1"/>
  <c r="D10" i="1"/>
  <c r="D11" i="1"/>
  <c r="D12" i="1"/>
  <c r="D13" i="1"/>
  <c r="D14" i="1"/>
  <c r="D15" i="1"/>
  <c r="D16" i="1"/>
  <c r="D17" i="1"/>
  <c r="D18" i="1"/>
  <c r="D19" i="1"/>
  <c r="D20" i="1"/>
  <c r="D21" i="1"/>
  <c r="D2" i="1"/>
  <c r="F2" i="3"/>
  <c r="C2" i="3"/>
</calcChain>
</file>

<file path=xl/sharedStrings.xml><?xml version="1.0" encoding="utf-8"?>
<sst xmlns="http://schemas.openxmlformats.org/spreadsheetml/2006/main" count="108" uniqueCount="62">
  <si>
    <t>Date</t>
  </si>
  <si>
    <t>Order_ID</t>
  </si>
  <si>
    <t>City</t>
  </si>
  <si>
    <t>Category</t>
  </si>
  <si>
    <t>Product</t>
  </si>
  <si>
    <t>Cost_Per_Unit</t>
  </si>
  <si>
    <t>Sale_Price</t>
  </si>
  <si>
    <t>Qty</t>
  </si>
  <si>
    <t>ORD-101</t>
  </si>
  <si>
    <t>mumbai</t>
  </si>
  <si>
    <t>Electronics</t>
  </si>
  <si>
    <t>iPhone 15</t>
  </si>
  <si>
    <t>ORD-102</t>
  </si>
  <si>
    <t>Delhi</t>
  </si>
  <si>
    <t>Samsung S24</t>
  </si>
  <si>
    <t>ORD-103</t>
  </si>
  <si>
    <t>BANGALORE</t>
  </si>
  <si>
    <t>Home</t>
  </si>
  <si>
    <t>Dyson Vacuum</t>
  </si>
  <si>
    <t>ORD-104</t>
  </si>
  <si>
    <t>Mumbai</t>
  </si>
  <si>
    <t>Dell XPS</t>
  </si>
  <si>
    <t>ORD-105</t>
  </si>
  <si>
    <t>delhi</t>
  </si>
  <si>
    <t>Accessories</t>
  </si>
  <si>
    <t>AirPods Pro</t>
  </si>
  <si>
    <t>ORD-106</t>
  </si>
  <si>
    <t>Bangalore</t>
  </si>
  <si>
    <t>Smart Bulb</t>
  </si>
  <si>
    <t>ORD-107</t>
  </si>
  <si>
    <t>Sony TV</t>
  </si>
  <si>
    <t>ORD-108</t>
  </si>
  <si>
    <t>DELHI</t>
  </si>
  <si>
    <t>ORD-109</t>
  </si>
  <si>
    <t>Mouse</t>
  </si>
  <si>
    <t>ORD-110</t>
  </si>
  <si>
    <t>Air Purifier</t>
  </si>
  <si>
    <t>ORD-111</t>
  </si>
  <si>
    <t>ORD-112</t>
  </si>
  <si>
    <t>bangalore</t>
  </si>
  <si>
    <t>ORD-113</t>
  </si>
  <si>
    <t>MUMBAI</t>
  </si>
  <si>
    <t>Keyboard</t>
  </si>
  <si>
    <t>ORD-114</t>
  </si>
  <si>
    <t>ORD-115</t>
  </si>
  <si>
    <t>ORD-116</t>
  </si>
  <si>
    <t>ORD-117</t>
  </si>
  <si>
    <t>ORD-118</t>
  </si>
  <si>
    <t>ORD-119</t>
  </si>
  <si>
    <t>ORD-120</t>
  </si>
  <si>
    <t>Clean City</t>
  </si>
  <si>
    <t>Revenue</t>
  </si>
  <si>
    <t>Total Cost</t>
  </si>
  <si>
    <t>Profit</t>
  </si>
  <si>
    <t>Row Labels</t>
  </si>
  <si>
    <t>Grand Total</t>
  </si>
  <si>
    <t>Sum of Revenue</t>
  </si>
  <si>
    <t>Sum of Profit</t>
  </si>
  <si>
    <t>Jan</t>
  </si>
  <si>
    <t>Feb</t>
  </si>
  <si>
    <t>Sum of Margin %</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</si>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</sst>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5"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cellXfs>
  <cellStyles count="1">
    <cellStyle name="Normal" xfId="0" builtinId="0"/>
  </cellStyles>
  <dxfs count="2">
    <dxf>
      <font>
        <b/>
        <i val="0"/>
        <strike val="0"/>
        <condense val="0"/>
        <extend val="0"/>
        <outline val="0"/>
        <shadow val="0"/>
        <u val="none"/>
        <vertAlign val="baseline"/>
        <sz val="11"/>
        <color theme="1"/>
        <name val="Aptos Narrow"/>
        <family val="2"/>
        <scheme val="minor"/>
      </font>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[Book1.xlsx]Engine!PivotTable1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Engine!$B$1</c:f>
              <c:strCache>
                <c:ptCount val="1"/>
                <c:pt idx="0">
                  <c:v>Sum of Revenue</c:v>
                </c:pt>
              </c:strCache>
            </c:strRef>
          </c:tx>
          <c:spPr>
            <a:solidFill>
              <a:schemeClr val="accent1"/>
            </a:solidFill>
            <a:ln>
              <a:noFill/>
            </a:ln>
            <a:effectLst/>
          </c:spPr>
          <c:invertIfNegative val="0"/>
          <c:cat>
            <c:strRef>
              <c:f>Engine!$A$2:$A$5</c:f>
              <c:strCache>
                <c:ptCount val="3"/>
                <c:pt idx="0">
                  <c:v>Bangalore</c:v>
                </c:pt>
                <c:pt idx="1">
                  <c:v>Delhi</c:v>
                </c:pt>
                <c:pt idx="2">
                  <c:v>Mumbai</c:v>
                </c:pt>
              </c:strCache>
            </c:strRef>
          </c:cat>
          <c:val>
            <c:numRef>
              <c:f>Engine!$B$2:$B$5</c:f>
              <c:numCache>
                <c:formatCode>"₹"\ #,##0</c:formatCode>
                <c:ptCount val="3"/>
                <c:pt idx="0">
                  <c:v>909000</c:v>
                </c:pt>
                <c:pt idx="1">
                  <c:v>1276000</c:v>
                </c:pt>
                <c:pt idx="2">
                  <c:v>1216000</c:v>
                </c:pt>
              </c:numCache>
            </c:numRef>
          </c:val>
          <c:extLst>
            <c:ext xmlns:c16="http://schemas.microsoft.com/office/drawing/2014/chart" uri="{C3380CC4-5D6E-409C-BE32-E72D297353CC}">
              <c16:uniqueId val="{00000000-A0E7-4100-A55D-048ABD103D8E}"/>
            </c:ext>
          </c:extLst>
        </c:ser>
        <c:ser>
          <c:idx val="1"/>
          <c:order val="1"/>
          <c:tx>
            <c:strRef>
              <c:f>Engine!$C$1</c:f>
              <c:strCache>
                <c:ptCount val="1"/>
                <c:pt idx="0">
                  <c:v>Sum of Profit</c:v>
                </c:pt>
              </c:strCache>
            </c:strRef>
          </c:tx>
          <c:spPr>
            <a:solidFill>
              <a:schemeClr val="accent2"/>
            </a:solidFill>
            <a:ln>
              <a:noFill/>
            </a:ln>
            <a:effectLst/>
          </c:spPr>
          <c:invertIfNegative val="0"/>
          <c:cat>
            <c:strRef>
              <c:f>Engine!$A$2:$A$5</c:f>
              <c:strCache>
                <c:ptCount val="3"/>
                <c:pt idx="0">
                  <c:v>Bangalore</c:v>
                </c:pt>
                <c:pt idx="1">
                  <c:v>Delhi</c:v>
                </c:pt>
                <c:pt idx="2">
                  <c:v>Mumbai</c:v>
                </c:pt>
              </c:strCache>
            </c:strRef>
          </c:cat>
          <c:val>
            <c:numRef>
              <c:f>Engine!$C$2:$C$5</c:f>
              <c:numCache>
                <c:formatCode>"₹"\ #,##0</c:formatCode>
                <c:ptCount val="3"/>
                <c:pt idx="0">
                  <c:v>274000</c:v>
                </c:pt>
                <c:pt idx="1">
                  <c:v>337000</c:v>
                </c:pt>
                <c:pt idx="2">
                  <c:v>300500</c:v>
                </c:pt>
              </c:numCache>
            </c:numRef>
          </c:val>
          <c:extLst>
            <c:ext xmlns:c16="http://schemas.microsoft.com/office/drawing/2014/chart" uri="{C3380CC4-5D6E-409C-BE32-E72D297353CC}">
              <c16:uniqueId val="{00000001-A0E7-4100-A55D-048ABD103D8E}"/>
            </c:ext>
          </c:extLst>
        </c:ser>
        <c:dLbls>
          <c:showLegendKey val="0"/>
          <c:showVal val="0"/>
          <c:showCatName val="0"/>
          <c:showSerName val="0"/>
          <c:showPercent val="0"/>
          <c:showBubbleSize val="0"/>
        </c:dLbls>
        <c:gapWidth val="219"/>
        <c:axId val="1339273904"/>
        <c:axId val="1339274384"/>
      </c:barChart>
      <c:lineChart>
        <c:grouping val="standard"/>
        <c:varyColors val="0"/>
        <c:ser>
          <c:idx val="2"/>
          <c:order val="2"/>
          <c:tx>
            <c:strRef>
              <c:f>Engine!$D$1</c:f>
              <c:strCache>
                <c:ptCount val="1"/>
                <c:pt idx="0">
                  <c:v>Sum of Margin %</c:v>
                </c:pt>
              </c:strCache>
            </c:strRef>
          </c:tx>
          <c:spPr>
            <a:ln w="28575" cap="rnd">
              <a:solidFill>
                <a:schemeClr val="accent3"/>
              </a:solidFill>
              <a:round/>
            </a:ln>
            <a:effectLst/>
          </c:spPr>
          <c:marker>
            <c:symbol val="none"/>
          </c:marker>
          <c:cat>
            <c:strRef>
              <c:f>Engine!$A$2:$A$5</c:f>
              <c:strCache>
                <c:ptCount val="3"/>
                <c:pt idx="0">
                  <c:v>Bangalore</c:v>
                </c:pt>
                <c:pt idx="1">
                  <c:v>Delhi</c:v>
                </c:pt>
                <c:pt idx="2">
                  <c:v>Mumbai</c:v>
                </c:pt>
              </c:strCache>
            </c:strRef>
          </c:cat>
          <c:val>
            <c:numRef>
              <c:f>Engine!$D$2:$D$5</c:f>
              <c:numCache>
                <c:formatCode>0.00%</c:formatCode>
                <c:ptCount val="3"/>
                <c:pt idx="0">
                  <c:v>0.30143014301430143</c:v>
                </c:pt>
                <c:pt idx="1">
                  <c:v>0.26410658307210033</c:v>
                </c:pt>
                <c:pt idx="2">
                  <c:v>0.24712171052631579</c:v>
                </c:pt>
              </c:numCache>
            </c:numRef>
          </c:val>
          <c:smooth val="0"/>
          <c:extLst>
            <c:ext xmlns:c16="http://schemas.microsoft.com/office/drawing/2014/chart" uri="{C3380CC4-5D6E-409C-BE32-E72D297353CC}">
              <c16:uniqueId val="{00000002-A0E7-4100-A55D-048ABD103D8E}"/>
            </c:ext>
          </c:extLst>
        </c:ser>
        <c:dLbls>
          <c:showLegendKey val="0"/>
          <c:showVal val="0"/>
          <c:showCatName val="0"/>
          <c:showSerName val="0"/>
          <c:showPercent val="0"/>
          <c:showBubbleSize val="0"/>
        </c:dLbls>
        <c:marker val="1"/>
        <c:smooth val="0"/>
        <c:axId val="1479829120"/>
        <c:axId val="1479828160"/>
      </c:lineChart>
      <c:catAx>
        <c:axId val="133927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274384"/>
        <c:crosses val="autoZero"/>
        <c:auto val="1"/>
        <c:lblAlgn val="ctr"/>
        <c:lblOffset val="100"/>
        <c:noMultiLvlLbl val="0"/>
      </c:catAx>
      <c:valAx>
        <c:axId val="1339274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273904"/>
        <c:crosses val="autoZero"/>
        <c:crossBetween val="between"/>
      </c:valAx>
      <c:valAx>
        <c:axId val="147982816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829120"/>
        <c:crosses val="max"/>
        <c:crossBetween val="between"/>
      </c:valAx>
      <c:catAx>
        <c:axId val="1479829120"/>
        <c:scaling>
          <c:orientation val="minMax"/>
        </c:scaling>
        <c:delete val="1"/>
        <c:axPos val="b"/>
        <c:numFmt formatCode="General" sourceLinked="1"/>
        <c:majorTickMark val="out"/>
        <c:minorTickMark val="none"/>
        <c:tickLblPos val="nextTo"/>
        <c:crossAx val="147982816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[Book1.xlsx]Engine!PivotTable2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Engine!$G$1</c:f>
              <c:strCache>
                <c:ptCount val="1"/>
                <c:pt idx="0">
                  <c:v>Sum of Revenue</c:v>
                </c:pt>
              </c:strCache>
            </c:strRef>
          </c:tx>
          <c:spPr>
            <a:ln w="28575" cap="rnd">
              <a:solidFill>
                <a:schemeClr val="accent1"/>
              </a:solidFill>
              <a:round/>
            </a:ln>
            <a:effectLst/>
          </c:spPr>
          <c:marker>
            <c:symbol val="none"/>
          </c:marker>
          <c:cat>
            <c:strRef>
              <c:f>Engine!$F$2:$F$4</c:f>
              <c:strCache>
                <c:ptCount val="2"/>
                <c:pt idx="0">
                  <c:v>Jan</c:v>
                </c:pt>
                <c:pt idx="1">
                  <c:v>Feb</c:v>
                </c:pt>
              </c:strCache>
            </c:strRef>
          </c:cat>
          <c:val>
            <c:numRef>
              <c:f>Engine!$G$2:$G$4</c:f>
              <c:numCache>
                <c:formatCode>"₹"\ #,##0</c:formatCode>
                <c:ptCount val="2"/>
                <c:pt idx="0">
                  <c:v>2157000</c:v>
                </c:pt>
                <c:pt idx="1">
                  <c:v>1244000</c:v>
                </c:pt>
              </c:numCache>
            </c:numRef>
          </c:val>
          <c:smooth val="0"/>
          <c:extLst>
            <c:ext xmlns:c16="http://schemas.microsoft.com/office/drawing/2014/chart" uri="{C3380CC4-5D6E-409C-BE32-E72D297353CC}">
              <c16:uniqueId val="{00000000-6501-4F8A-B4B6-C3C57AEDA4D6}"/>
            </c:ext>
          </c:extLst>
        </c:ser>
        <c:ser>
          <c:idx val="1"/>
          <c:order val="1"/>
          <c:tx>
            <c:strRef>
              <c:f>Engine!$H$1</c:f>
              <c:strCache>
                <c:ptCount val="1"/>
                <c:pt idx="0">
                  <c:v>Sum of Profit</c:v>
                </c:pt>
              </c:strCache>
            </c:strRef>
          </c:tx>
          <c:spPr>
            <a:ln w="28575" cap="rnd">
              <a:solidFill>
                <a:schemeClr val="accent2"/>
              </a:solidFill>
              <a:round/>
            </a:ln>
            <a:effectLst/>
          </c:spPr>
          <c:marker>
            <c:symbol val="none"/>
          </c:marker>
          <c:cat>
            <c:strRef>
              <c:f>Engine!$F$2:$F$4</c:f>
              <c:strCache>
                <c:ptCount val="2"/>
                <c:pt idx="0">
                  <c:v>Jan</c:v>
                </c:pt>
                <c:pt idx="1">
                  <c:v>Feb</c:v>
                </c:pt>
              </c:strCache>
            </c:strRef>
          </c:cat>
          <c:val>
            <c:numRef>
              <c:f>Engine!$H$2:$H$4</c:f>
              <c:numCache>
                <c:formatCode>"₹"\ #,##0</c:formatCode>
                <c:ptCount val="2"/>
                <c:pt idx="0">
                  <c:v>592500</c:v>
                </c:pt>
                <c:pt idx="1">
                  <c:v>319000</c:v>
                </c:pt>
              </c:numCache>
            </c:numRef>
          </c:val>
          <c:smooth val="0"/>
          <c:extLst>
            <c:ext xmlns:c16="http://schemas.microsoft.com/office/drawing/2014/chart" uri="{C3380CC4-5D6E-409C-BE32-E72D297353CC}">
              <c16:uniqueId val="{00000001-6501-4F8A-B4B6-C3C57AEDA4D6}"/>
            </c:ext>
          </c:extLst>
        </c:ser>
        <c:dLbls>
          <c:showLegendKey val="0"/>
          <c:showVal val="0"/>
          <c:showCatName val="0"/>
          <c:showSerName val="0"/>
          <c:showPercent val="0"/>
          <c:showBubbleSize val="0"/>
        </c:dLbls>
        <c:smooth val="0"/>
        <c:axId val="1479800320"/>
        <c:axId val="1479793600"/>
      </c:lineChart>
      <c:catAx>
        <c:axId val="147980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793600"/>
        <c:crosses val="autoZero"/>
        <c:auto val="1"/>
        <c:lblAlgn val="ctr"/>
        <c:lblOffset val="100"/>
        <c:noMultiLvlLbl val="0"/>
      </c:catAx>
      <c:valAx>
        <c:axId val="1479793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80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117231</xdr:colOff>
      <xdr:row>13</xdr:row>
      <xdr:rowOff>146538</xdr:rowOff>
    </xdr:from>
    <xdr:to>
      <xdr:col>7</xdr:col>
      <xdr:colOff>414411</xdr:colOff>
      <xdr:row>28</xdr:row>
      <xdr:rowOff>77372</xdr:rowOff>
    </xdr:to>
    <xdr:graphicFrame macro="">
      <xdr:nvGraphicFramePr>
        <xdr:cNvPr id="2" name="Chart 1">
          <a:extLst>
            <a:ext uri="{FF2B5EF4-FFF2-40B4-BE49-F238E27FC236}">
              <a16:creationId xmlns:a16="http://schemas.microsoft.com/office/drawing/2014/main" id="{D9F00C6E-5286-42A6-83CE-1BE0D85F6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205154</xdr:colOff>
      <xdr:row>13</xdr:row>
      <xdr:rowOff>43961</xdr:rowOff>
    </xdr:from>
    <xdr:to>
      <xdr:col>17</xdr:col>
      <xdr:colOff>468923</xdr:colOff>
      <xdr:row>28</xdr:row>
      <xdr:rowOff>149469</xdr:rowOff>
    </xdr:to>
    <xdr:graphicFrame macro="">
      <xdr:nvGraphicFramePr>
        <xdr:cNvPr id="3" name="Chart 2">
          <a:extLst>
            <a:ext uri="{FF2B5EF4-FFF2-40B4-BE49-F238E27FC236}">
              <a16:creationId xmlns:a16="http://schemas.microsoft.com/office/drawing/2014/main" id="{50752830-5F96-4FDA-9E5A-B35BE44B5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372035</xdr:colOff>
      <xdr:row>5</xdr:row>
      <xdr:rowOff>78890</xdr:rowOff>
    </xdr:from>
    <xdr:to>
      <xdr:col>2</xdr:col>
      <xdr:colOff>361644</xdr:colOff>
      <xdr:row>12</xdr:row>
      <xdr:rowOff>156884</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0F579CB1-BFF7-616F-36A5-8A47E5839A5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72035" y="996962"/>
              <a:ext cx="1825754" cy="1363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21067</xdr:colOff>
      <xdr:row>5</xdr:row>
      <xdr:rowOff>50201</xdr:rowOff>
    </xdr:from>
    <xdr:to>
      <xdr:col>8</xdr:col>
      <xdr:colOff>333039</xdr:colOff>
      <xdr:row>13</xdr:row>
      <xdr:rowOff>703</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C58B9EF9-B85F-5411-37EF-E1C51EC9DCB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867091" y="968273"/>
              <a:ext cx="3341611" cy="14194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bh Kumar" refreshedDate="46039.676760185183" createdVersion="8" refreshedVersion="8" minRefreshableVersion="3" recordCount="20" xr:uid="{2A4555FA-8562-43DA-AF36-DB893BEE62E0}">
  <cacheSource type="worksheet">
    <worksheetSource name="SalesData"/>
  </cacheSource>
  <cacheFields count="15">
    <cacheField name="Date" numFmtId="15">
      <sharedItems containsSemiMixedTypes="0" containsNonDate="0" containsDate="1" containsString="0" minDate="2025-01-01T00:00:00" maxDate="2025-02-16T00:00:00" count="20">
        <d v="2025-01-01T00:00:00"/>
        <d v="2025-01-02T00:00:00"/>
        <d v="2025-01-03T00:00:00"/>
        <d v="2025-01-04T00:00:00"/>
        <d v="2025-01-05T00:00:00"/>
        <d v="2025-01-06T00:00:00"/>
        <d v="2025-01-08T00:00:00"/>
        <d v="2025-01-10T00:00:00"/>
        <d v="2025-01-12T00:00:00"/>
        <d v="2025-01-15T00:00:00"/>
        <d v="2025-01-18T00:00:00"/>
        <d v="2025-01-20T00:00:00"/>
        <d v="2025-01-22T00:00:00"/>
        <d v="2025-01-25T00:00:00"/>
        <d v="2025-01-28T00:00:00"/>
        <d v="2025-02-02T00:00:00"/>
        <d v="2025-02-05T00:00:00"/>
        <d v="2025-02-08T00:00:00"/>
        <d v="2025-02-12T00:00:00"/>
        <d v="2025-02-15T00:00:00"/>
      </sharedItems>
      <fieldGroup par="13"/>
    </cacheField>
    <cacheField name="Order_ID" numFmtId="0">
      <sharedItems/>
    </cacheField>
    <cacheField name="City" numFmtId="0">
      <sharedItems/>
    </cacheField>
    <cacheField name="Clean City" numFmtId="0">
      <sharedItems count="3">
        <s v="Mumbai"/>
        <s v="Delhi"/>
        <s v="Bangalore"/>
      </sharedItems>
    </cacheField>
    <cacheField name="Category" numFmtId="0">
      <sharedItems count="3">
        <s v="Electronics"/>
        <s v="Home"/>
        <s v="Accessories"/>
      </sharedItems>
    </cacheField>
    <cacheField name="Product" numFmtId="0">
      <sharedItems/>
    </cacheField>
    <cacheField name="Cost_Per_Unit" numFmtId="0">
      <sharedItems containsSemiMixedTypes="0" containsString="0" containsNumber="1" containsInteger="1" minValue="500" maxValue="85000"/>
    </cacheField>
    <cacheField name="Sale_Price" numFmtId="0">
      <sharedItems containsSemiMixedTypes="0" containsString="0" containsNumber="1" containsInteger="1" minValue="1200" maxValue="112000"/>
    </cacheField>
    <cacheField name="Qty" numFmtId="0">
      <sharedItems containsSemiMixedTypes="0" containsString="0" containsNumber="1" containsInteger="1" minValue="1" maxValue="50"/>
    </cacheField>
    <cacheField name="Revenue" numFmtId="0">
      <sharedItems containsSemiMixedTypes="0" containsString="0" containsNumber="1" containsInteger="1" minValue="24000" maxValue="410000"/>
    </cacheField>
    <cacheField name="Total Cost" numFmtId="0">
      <sharedItems containsSemiMixedTypes="0" containsString="0" containsNumber="1" containsInteger="1" minValue="10000" maxValue="325000"/>
    </cacheField>
    <cacheField name="Profit" numFmtId="0">
      <sharedItems containsSemiMixedTypes="0" containsString="0" containsNumber="1" containsInteger="1" minValue="14000" maxValue="85000"/>
    </cacheField>
    <cacheField name="Days (Date)" numFmtId="0" databaseField="0">
      <fieldGroup base="0">
        <rangePr groupBy="days" startDate="2025-01-01T00:00:00" endDate="2025-02-16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02-2025"/>
        </groupItems>
      </fieldGroup>
    </cacheField>
    <cacheField name="Months (Date)" numFmtId="0" databaseField="0">
      <fieldGroup base="0">
        <rangePr groupBy="months" startDate="2025-01-01T00:00:00" endDate="2025-02-16T00:00:00"/>
        <groupItems count="14">
          <s v="&lt;01-01-2025"/>
          <s v="Jan"/>
          <s v="Feb"/>
          <s v="Mar"/>
          <s v="Apr"/>
          <s v="May"/>
          <s v="Jun"/>
          <s v="Jul"/>
          <s v="Aug"/>
          <s v="Sep"/>
          <s v="Oct"/>
          <s v="Nov"/>
          <s v="Dec"/>
          <s v="&gt;16-02-2025"/>
        </groupItems>
      </fieldGroup>
    </cacheField>
    <cacheField name="Margin %" numFmtId="0" formula="Profit /Revenue" databaseField="0"/>
  </cacheFields>
  <extLst>
    <ext xmlns:x14="http://schemas.microsoft.com/office/spreadsheetml/2009/9/main" uri="{725AE2AE-9491-48be-B2B4-4EB974FC3084}">
      <x14:pivotCacheDefinition pivotCacheId="532356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ORD-101"/>
    <s v="mumbai"/>
    <x v="0"/>
    <x v="0"/>
    <s v="iPhone 15"/>
    <n v="65000"/>
    <n v="80000"/>
    <n v="2"/>
    <n v="160000"/>
    <n v="130000"/>
    <n v="30000"/>
  </r>
  <r>
    <x v="1"/>
    <s v="ORD-102"/>
    <s v="Delhi"/>
    <x v="1"/>
    <x v="0"/>
    <s v="Samsung S24"/>
    <n v="55000"/>
    <n v="75000"/>
    <n v="1"/>
    <n v="75000"/>
    <n v="55000"/>
    <n v="20000"/>
  </r>
  <r>
    <x v="2"/>
    <s v="ORD-103"/>
    <s v="BANGALORE"/>
    <x v="2"/>
    <x v="1"/>
    <s v="Dyson Vacuum"/>
    <n v="30000"/>
    <n v="45000"/>
    <n v="5"/>
    <n v="225000"/>
    <n v="150000"/>
    <n v="75000"/>
  </r>
  <r>
    <x v="3"/>
    <s v="ORD-104"/>
    <s v="mumbai"/>
    <x v="0"/>
    <x v="0"/>
    <s v="Dell XPS"/>
    <n v="85000"/>
    <n v="110000"/>
    <n v="1"/>
    <n v="110000"/>
    <n v="85000"/>
    <n v="25000"/>
  </r>
  <r>
    <x v="4"/>
    <s v="ORD-105"/>
    <s v="Delhi"/>
    <x v="1"/>
    <x v="2"/>
    <s v="AirPods Pro"/>
    <n v="15000"/>
    <n v="22000"/>
    <n v="10"/>
    <n v="220000"/>
    <n v="150000"/>
    <n v="70000"/>
  </r>
  <r>
    <x v="5"/>
    <s v="ORD-106"/>
    <s v="BANGALORE"/>
    <x v="2"/>
    <x v="1"/>
    <s v="Smart Bulb"/>
    <n v="800"/>
    <n v="1500"/>
    <n v="50"/>
    <n v="75000"/>
    <n v="40000"/>
    <n v="35000"/>
  </r>
  <r>
    <x v="6"/>
    <s v="ORD-107"/>
    <s v="mumbai"/>
    <x v="0"/>
    <x v="0"/>
    <s v="Sony TV"/>
    <n v="45000"/>
    <n v="65000"/>
    <n v="3"/>
    <n v="195000"/>
    <n v="135000"/>
    <n v="60000"/>
  </r>
  <r>
    <x v="7"/>
    <s v="ORD-108"/>
    <s v="Delhi"/>
    <x v="1"/>
    <x v="0"/>
    <s v="iPhone 15"/>
    <n v="65000"/>
    <n v="79000"/>
    <n v="4"/>
    <n v="316000"/>
    <n v="260000"/>
    <n v="56000"/>
  </r>
  <r>
    <x v="8"/>
    <s v="ORD-109"/>
    <s v="BANGALORE"/>
    <x v="2"/>
    <x v="2"/>
    <s v="Mouse"/>
    <n v="500"/>
    <n v="1200"/>
    <n v="20"/>
    <n v="24000"/>
    <n v="10000"/>
    <n v="14000"/>
  </r>
  <r>
    <x v="9"/>
    <s v="ORD-110"/>
    <s v="mumbai"/>
    <x v="0"/>
    <x v="1"/>
    <s v="Air Purifier"/>
    <n v="8000"/>
    <n v="12000"/>
    <n v="6"/>
    <n v="72000"/>
    <n v="48000"/>
    <n v="24000"/>
  </r>
  <r>
    <x v="10"/>
    <s v="ORD-111"/>
    <s v="Delhi"/>
    <x v="1"/>
    <x v="0"/>
    <s v="Samsung S24"/>
    <n v="55000"/>
    <n v="74000"/>
    <n v="2"/>
    <n v="148000"/>
    <n v="110000"/>
    <n v="38000"/>
  </r>
  <r>
    <x v="11"/>
    <s v="ORD-112"/>
    <s v="BANGALORE"/>
    <x v="2"/>
    <x v="0"/>
    <s v="Dell XPS"/>
    <n v="85000"/>
    <n v="105000"/>
    <n v="3"/>
    <n v="315000"/>
    <n v="255000"/>
    <n v="60000"/>
  </r>
  <r>
    <x v="12"/>
    <s v="ORD-113"/>
    <s v="mumbai"/>
    <x v="0"/>
    <x v="2"/>
    <s v="Keyboard"/>
    <n v="1500"/>
    <n v="3000"/>
    <n v="15"/>
    <n v="45000"/>
    <n v="22500"/>
    <n v="22500"/>
  </r>
  <r>
    <x v="13"/>
    <s v="ORD-114"/>
    <s v="Delhi"/>
    <x v="1"/>
    <x v="1"/>
    <s v="Smart Bulb"/>
    <n v="800"/>
    <n v="1500"/>
    <n v="30"/>
    <n v="45000"/>
    <n v="24000"/>
    <n v="21000"/>
  </r>
  <r>
    <x v="14"/>
    <s v="ORD-115"/>
    <s v="BANGALORE"/>
    <x v="2"/>
    <x v="0"/>
    <s v="Sony TV"/>
    <n v="45000"/>
    <n v="66000"/>
    <n v="2"/>
    <n v="132000"/>
    <n v="90000"/>
    <n v="42000"/>
  </r>
  <r>
    <x v="15"/>
    <s v="ORD-116"/>
    <s v="mumbai"/>
    <x v="0"/>
    <x v="0"/>
    <s v="iPhone 15"/>
    <n v="65000"/>
    <n v="82000"/>
    <n v="5"/>
    <n v="410000"/>
    <n v="325000"/>
    <n v="85000"/>
  </r>
  <r>
    <x v="16"/>
    <s v="ORD-117"/>
    <s v="Delhi"/>
    <x v="1"/>
    <x v="2"/>
    <s v="AirPods Pro"/>
    <n v="15000"/>
    <n v="21000"/>
    <n v="8"/>
    <n v="168000"/>
    <n v="120000"/>
    <n v="48000"/>
  </r>
  <r>
    <x v="17"/>
    <s v="ORD-118"/>
    <s v="BANGALORE"/>
    <x v="2"/>
    <x v="1"/>
    <s v="Dyson Vacuum"/>
    <n v="30000"/>
    <n v="46000"/>
    <n v="3"/>
    <n v="138000"/>
    <n v="90000"/>
    <n v="48000"/>
  </r>
  <r>
    <x v="18"/>
    <s v="ORD-119"/>
    <s v="mumbai"/>
    <x v="0"/>
    <x v="0"/>
    <s v="Dell XPS"/>
    <n v="85000"/>
    <n v="112000"/>
    <n v="2"/>
    <n v="224000"/>
    <n v="170000"/>
    <n v="54000"/>
  </r>
  <r>
    <x v="19"/>
    <s v="ORD-120"/>
    <s v="Delhi"/>
    <x v="1"/>
    <x v="0"/>
    <s v="Samsung S24"/>
    <n v="55000"/>
    <n v="76000"/>
    <n v="4"/>
    <n v="304000"/>
    <n v="220000"/>
    <n v="8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72B300-4861-4B9D-85C4-F920C19139F8}"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H4" firstHeaderRow="0" firstDataRow="1" firstDataCol="1"/>
  <pivotFields count="15">
    <pivotField axis="axisRow" numFmtId="15"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items count="4">
        <item x="2"/>
        <item x="1"/>
        <item x="0"/>
        <item t="default"/>
      </items>
    </pivotField>
    <pivotField showAll="0">
      <items count="4">
        <item x="2"/>
        <item x="0"/>
        <item x="1"/>
        <item t="default"/>
      </items>
    </pivotField>
    <pivotField showAll="0"/>
    <pivotField showAll="0"/>
    <pivotField showAll="0"/>
    <pivotField showAll="0"/>
    <pivotField dataField="1"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3"/>
    <field x="12"/>
    <field x="0"/>
  </rowFields>
  <rowItems count="3">
    <i>
      <x v="1"/>
    </i>
    <i>
      <x v="2"/>
    </i>
    <i t="grand">
      <x/>
    </i>
  </rowItems>
  <colFields count="1">
    <field x="-2"/>
  </colFields>
  <colItems count="2">
    <i>
      <x/>
    </i>
    <i i="1">
      <x v="1"/>
    </i>
  </colItems>
  <dataFields count="2">
    <dataField name="Sum of Revenue" fld="9" baseField="0" baseItem="0" numFmtId="164"/>
    <dataField name="Sum of Profit" fld="11" baseField="0" baseItem="0" numFmtId="164"/>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13CC7B-A9FD-4E9D-BDD5-C415C6D5D51D}"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D5" firstHeaderRow="0" firstDataRow="1" firstDataCol="1"/>
  <pivotFields count="15">
    <pivotField numFmtId="15" showAll="0">
      <items count="21">
        <item x="0"/>
        <item x="1"/>
        <item x="2"/>
        <item x="3"/>
        <item x="4"/>
        <item x="5"/>
        <item x="6"/>
        <item x="7"/>
        <item x="8"/>
        <item x="9"/>
        <item x="10"/>
        <item x="11"/>
        <item x="12"/>
        <item x="13"/>
        <item x="14"/>
        <item x="15"/>
        <item x="16"/>
        <item x="17"/>
        <item x="18"/>
        <item x="19"/>
        <item t="default"/>
      </items>
    </pivotField>
    <pivotField showAll="0"/>
    <pivotField showAll="0"/>
    <pivotField axis="axisRow" showAll="0">
      <items count="4">
        <item x="2"/>
        <item x="1"/>
        <item x="0"/>
        <item t="default"/>
      </items>
    </pivotField>
    <pivotField showAll="0">
      <items count="4">
        <item x="2"/>
        <item x="0"/>
        <item x="1"/>
        <item t="default"/>
      </items>
    </pivotField>
    <pivotField showAll="0"/>
    <pivotField showAll="0"/>
    <pivotField showAll="0"/>
    <pivotField showAll="0"/>
    <pivotField dataField="1"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s>
  <rowFields count="1">
    <field x="3"/>
  </rowFields>
  <rowItems count="4">
    <i>
      <x/>
    </i>
    <i>
      <x v="1"/>
    </i>
    <i>
      <x v="2"/>
    </i>
    <i t="grand">
      <x/>
    </i>
  </rowItems>
  <colFields count="1">
    <field x="-2"/>
  </colFields>
  <colItems count="3">
    <i>
      <x/>
    </i>
    <i i="1">
      <x v="1"/>
    </i>
    <i i="2">
      <x v="2"/>
    </i>
  </colItems>
  <dataFields count="3">
    <dataField name="Sum of Revenue" fld="9" baseField="0" baseItem="0" numFmtId="164"/>
    <dataField name="Sum of Profit" fld="11" baseField="0" baseItem="0" numFmtId="164"/>
    <dataField name="Sum of Margin %" fld="14" baseField="0" baseItem="0" numFmtId="1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A773BFC-BFD9-4BB6-86B8-E1C0426BE1BA}" sourceName="Category">
  <pivotTables>
    <pivotTable tabId="2" name="PivotTable1"/>
    <pivotTable tabId="2" name="PivotTable2"/>
  </pivotTables>
  <data>
    <tabular pivotCacheId="53235644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F3B2A33-7220-43DB-BB58-5F47F54D8084}"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B0B044-0757-4AD8-9E01-600D5DE5E854}" name="SalesData" displayName="SalesData" ref="A1:L21" totalsRowShown="0" headerRowDxfId="0">
  <autoFilter ref="A1:L21" xr:uid="{AAB0B044-0757-4AD8-9E01-600D5DE5E854}"/>
  <tableColumns count="12">
    <tableColumn id="1" xr3:uid="{0622ED35-4CB3-4266-9DB0-20C112ED04E6}" name="Date" dataDxfId="1"/>
    <tableColumn id="2" xr3:uid="{BFFDC149-1A3F-456F-A7F0-964015E50821}" name="Order_ID"/>
    <tableColumn id="3" xr3:uid="{3CC5B30F-DF2A-4191-8404-EB103C476B0C}" name="City"/>
    <tableColumn id="4" xr3:uid="{F399B648-0854-49E5-8619-14B81BD0D583}" name="Clean City">
      <calculatedColumnFormula>PROPER(C2)</calculatedColumnFormula>
    </tableColumn>
    <tableColumn id="5" xr3:uid="{0C971F96-7490-4CC4-B7C0-ECF8FAB76A92}" name="Category"/>
    <tableColumn id="6" xr3:uid="{0E376EE1-29BB-4E5B-A490-8CDC614BB9E6}" name="Product"/>
    <tableColumn id="7" xr3:uid="{9901F2BF-AC76-4677-A82A-6AEFB9CE2449}" name="Cost_Per_Unit"/>
    <tableColumn id="8" xr3:uid="{E32D1131-08E2-41E5-90A2-421DA7432C60}" name="Sale_Price"/>
    <tableColumn id="9" xr3:uid="{48C6F5EC-3CDC-4FC1-A9BB-FFF5437B9DAC}" name="Qty"/>
    <tableColumn id="10" xr3:uid="{4A88EDB0-4125-43D5-BC72-5E0BB6DB71A7}" name="Revenue">
      <calculatedColumnFormula>H2*I2</calculatedColumnFormula>
    </tableColumn>
    <tableColumn id="11" xr3:uid="{B253D874-0BF8-41C9-97EB-9B2A19BFDC08}" name="Total Cost">
      <calculatedColumnFormula>G2*I2</calculatedColumnFormula>
    </tableColumn>
    <tableColumn id="12" xr3:uid="{6CB5B131-8E8E-4C0F-97B7-63D2911B44D9}" name="Profit">
      <calculatedColumnFormula>J2-K2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C175918-2389-4178-9424-32532CD9F180}" sourceName="Date">
  <pivotTables>
    <pivotTable tabId="2" name="PivotTable1"/>
  </pivotTables>
  <state minimalRefreshVersion="6" lastRefreshVersion="6" pivotCacheId="532356445"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5B81916-71CC-43AC-A171-D2B0995A4323}" cache="NativeTimeline_Date" caption="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E6332-765E-4B8A-842A-1DB74EA0F435}">
  <dimension ref="A1:L21"/>
  <sheetViews>
    <sheetView workbookViewId="0">
      <selection activeCell="P23" sqref="P23"/>
    </sheetView>
  </sheetViews>
  <sheetFormatPr defaultRowHeight="14.4" x14ac:dyDescent="0.3"/>
  <cols>
    <col min="1" max="1" width="10.77734375" customWidth="1"/>
    <col min="2" max="2" width="10.6640625" customWidth="1"/>
    <col min="3" max="4" width="12.44140625" customWidth="1"/>
    <col min="5" max="5" width="14.21875" customWidth="1"/>
    <col min="6" max="6" width="11.88671875" customWidth="1"/>
    <col min="7" max="7" width="14.44140625" customWidth="1"/>
    <col min="8" max="8" width="13" customWidth="1"/>
    <col min="10" max="10" width="9.88671875" customWidth="1"/>
    <col min="11" max="11" width="11.109375" customWidth="1"/>
  </cols>
  <sheetData>
    <row r="1" spans="1:12" x14ac:dyDescent="0.3">
      <c r="A1" s="2" t="s">
        <v>0</v>
      </c>
      <c r="B1" s="2" t="s">
        <v>1</v>
      </c>
      <c r="C1" s="2" t="s">
        <v>2</v>
      </c>
      <c r="D1" s="2" t="s">
        <v>50</v>
      </c>
      <c r="E1" s="2" t="s">
        <v>3</v>
      </c>
      <c r="F1" s="2" t="s">
        <v>4</v>
      </c>
      <c r="G1" s="2" t="s">
        <v>5</v>
      </c>
      <c r="H1" s="2" t="s">
        <v>6</v>
      </c>
      <c r="I1" s="2" t="s">
        <v>7</v>
      </c>
      <c r="J1" s="2" t="s">
        <v>51</v>
      </c>
      <c r="K1" s="2" t="s">
        <v>52</v>
      </c>
      <c r="L1" s="2" t="s">
        <v>53</v>
      </c>
    </row>
    <row r="2" spans="1:12" x14ac:dyDescent="0.3">
      <c r="A2" s="1">
        <v>45658</v>
      </c>
      <c r="B2" t="s">
        <v>8</v>
      </c>
      <c r="C2" t="s">
        <v>9</v>
      </c>
      <c r="D2" t="str">
        <f>PROPER(C2)</f>
        <v>Mumbai</v>
      </c>
      <c r="E2" t="s">
        <v>10</v>
      </c>
      <c r="F2" t="s">
        <v>11</v>
      </c>
      <c r="G2">
        <v>65000</v>
      </c>
      <c r="H2">
        <v>80000</v>
      </c>
      <c r="I2">
        <v>2</v>
      </c>
      <c r="J2">
        <f>H2*I2</f>
        <v>160000</v>
      </c>
      <c r="K2">
        <f>G2*I2</f>
        <v>130000</v>
      </c>
      <c r="L2">
        <f>J2-K2</f>
        <v>30000</v>
      </c>
    </row>
    <row r="3" spans="1:12" x14ac:dyDescent="0.3">
      <c r="A3" s="1">
        <v>45659</v>
      </c>
      <c r="B3" t="s">
        <v>12</v>
      </c>
      <c r="C3" t="s">
        <v>13</v>
      </c>
      <c r="D3" t="str">
        <f t="shared" ref="D3:D21" si="0">PROPER(C3)</f>
        <v>Delhi</v>
      </c>
      <c r="E3" t="s">
        <v>10</v>
      </c>
      <c r="F3" t="s">
        <v>14</v>
      </c>
      <c r="G3">
        <v>55000</v>
      </c>
      <c r="H3">
        <v>75000</v>
      </c>
      <c r="I3">
        <v>1</v>
      </c>
      <c r="J3">
        <f t="shared" ref="J3:J21" si="1">H3*I3</f>
        <v>75000</v>
      </c>
      <c r="K3">
        <f t="shared" ref="K3:K21" si="2">G3*I3</f>
        <v>55000</v>
      </c>
      <c r="L3">
        <f t="shared" ref="L3:L21" si="3">J3-K3</f>
        <v>20000</v>
      </c>
    </row>
    <row r="4" spans="1:12" x14ac:dyDescent="0.3">
      <c r="A4" s="1">
        <v>45660</v>
      </c>
      <c r="B4" t="s">
        <v>15</v>
      </c>
      <c r="C4" t="s">
        <v>16</v>
      </c>
      <c r="D4" t="str">
        <f t="shared" si="0"/>
        <v>Bangalore</v>
      </c>
      <c r="E4" t="s">
        <v>17</v>
      </c>
      <c r="F4" t="s">
        <v>18</v>
      </c>
      <c r="G4">
        <v>30000</v>
      </c>
      <c r="H4">
        <v>45000</v>
      </c>
      <c r="I4">
        <v>5</v>
      </c>
      <c r="J4">
        <f t="shared" si="1"/>
        <v>225000</v>
      </c>
      <c r="K4">
        <f t="shared" si="2"/>
        <v>150000</v>
      </c>
      <c r="L4">
        <f t="shared" si="3"/>
        <v>75000</v>
      </c>
    </row>
    <row r="5" spans="1:12" x14ac:dyDescent="0.3">
      <c r="A5" s="1">
        <v>45661</v>
      </c>
      <c r="B5" t="s">
        <v>19</v>
      </c>
      <c r="C5" t="s">
        <v>20</v>
      </c>
      <c r="D5" t="str">
        <f t="shared" si="0"/>
        <v>Mumbai</v>
      </c>
      <c r="E5" t="s">
        <v>10</v>
      </c>
      <c r="F5" t="s">
        <v>21</v>
      </c>
      <c r="G5">
        <v>85000</v>
      </c>
      <c r="H5">
        <v>110000</v>
      </c>
      <c r="I5">
        <v>1</v>
      </c>
      <c r="J5">
        <f t="shared" si="1"/>
        <v>110000</v>
      </c>
      <c r="K5">
        <f t="shared" si="2"/>
        <v>85000</v>
      </c>
      <c r="L5">
        <f t="shared" si="3"/>
        <v>25000</v>
      </c>
    </row>
    <row r="6" spans="1:12" x14ac:dyDescent="0.3">
      <c r="A6" s="1">
        <v>45662</v>
      </c>
      <c r="B6" t="s">
        <v>22</v>
      </c>
      <c r="C6" t="s">
        <v>23</v>
      </c>
      <c r="D6" t="str">
        <f t="shared" si="0"/>
        <v>Delhi</v>
      </c>
      <c r="E6" t="s">
        <v>24</v>
      </c>
      <c r="F6" t="s">
        <v>25</v>
      </c>
      <c r="G6">
        <v>15000</v>
      </c>
      <c r="H6">
        <v>22000</v>
      </c>
      <c r="I6">
        <v>10</v>
      </c>
      <c r="J6">
        <f t="shared" si="1"/>
        <v>220000</v>
      </c>
      <c r="K6">
        <f t="shared" si="2"/>
        <v>150000</v>
      </c>
      <c r="L6">
        <f t="shared" si="3"/>
        <v>70000</v>
      </c>
    </row>
    <row r="7" spans="1:12" x14ac:dyDescent="0.3">
      <c r="A7" s="1">
        <v>45663</v>
      </c>
      <c r="B7" t="s">
        <v>26</v>
      </c>
      <c r="C7" t="s">
        <v>27</v>
      </c>
      <c r="D7" t="str">
        <f t="shared" si="0"/>
        <v>Bangalore</v>
      </c>
      <c r="E7" t="s">
        <v>17</v>
      </c>
      <c r="F7" t="s">
        <v>28</v>
      </c>
      <c r="G7">
        <v>800</v>
      </c>
      <c r="H7">
        <v>1500</v>
      </c>
      <c r="I7">
        <v>50</v>
      </c>
      <c r="J7">
        <f t="shared" si="1"/>
        <v>75000</v>
      </c>
      <c r="K7">
        <f t="shared" si="2"/>
        <v>40000</v>
      </c>
      <c r="L7">
        <f t="shared" si="3"/>
        <v>35000</v>
      </c>
    </row>
    <row r="8" spans="1:12" x14ac:dyDescent="0.3">
      <c r="A8" s="1">
        <v>45665</v>
      </c>
      <c r="B8" t="s">
        <v>29</v>
      </c>
      <c r="C8" t="s">
        <v>9</v>
      </c>
      <c r="D8" t="str">
        <f t="shared" si="0"/>
        <v>Mumbai</v>
      </c>
      <c r="E8" t="s">
        <v>10</v>
      </c>
      <c r="F8" t="s">
        <v>30</v>
      </c>
      <c r="G8">
        <v>45000</v>
      </c>
      <c r="H8">
        <v>65000</v>
      </c>
      <c r="I8">
        <v>3</v>
      </c>
      <c r="J8">
        <f t="shared" si="1"/>
        <v>195000</v>
      </c>
      <c r="K8">
        <f t="shared" si="2"/>
        <v>135000</v>
      </c>
      <c r="L8">
        <f t="shared" si="3"/>
        <v>60000</v>
      </c>
    </row>
    <row r="9" spans="1:12" x14ac:dyDescent="0.3">
      <c r="A9" s="1">
        <v>45667</v>
      </c>
      <c r="B9" t="s">
        <v>31</v>
      </c>
      <c r="C9" t="s">
        <v>32</v>
      </c>
      <c r="D9" t="str">
        <f t="shared" si="0"/>
        <v>Delhi</v>
      </c>
      <c r="E9" t="s">
        <v>10</v>
      </c>
      <c r="F9" t="s">
        <v>11</v>
      </c>
      <c r="G9">
        <v>65000</v>
      </c>
      <c r="H9">
        <v>79000</v>
      </c>
      <c r="I9">
        <v>4</v>
      </c>
      <c r="J9">
        <f t="shared" si="1"/>
        <v>316000</v>
      </c>
      <c r="K9">
        <f t="shared" si="2"/>
        <v>260000</v>
      </c>
      <c r="L9">
        <f t="shared" si="3"/>
        <v>56000</v>
      </c>
    </row>
    <row r="10" spans="1:12" x14ac:dyDescent="0.3">
      <c r="A10" s="1">
        <v>45669</v>
      </c>
      <c r="B10" t="s">
        <v>33</v>
      </c>
      <c r="C10" t="s">
        <v>27</v>
      </c>
      <c r="D10" t="str">
        <f t="shared" si="0"/>
        <v>Bangalore</v>
      </c>
      <c r="E10" t="s">
        <v>24</v>
      </c>
      <c r="F10" t="s">
        <v>34</v>
      </c>
      <c r="G10">
        <v>500</v>
      </c>
      <c r="H10">
        <v>1200</v>
      </c>
      <c r="I10">
        <v>20</v>
      </c>
      <c r="J10">
        <f t="shared" si="1"/>
        <v>24000</v>
      </c>
      <c r="K10">
        <f t="shared" si="2"/>
        <v>10000</v>
      </c>
      <c r="L10">
        <f t="shared" si="3"/>
        <v>14000</v>
      </c>
    </row>
    <row r="11" spans="1:12" x14ac:dyDescent="0.3">
      <c r="A11" s="1">
        <v>45672</v>
      </c>
      <c r="B11" t="s">
        <v>35</v>
      </c>
      <c r="C11" t="s">
        <v>20</v>
      </c>
      <c r="D11" t="str">
        <f t="shared" si="0"/>
        <v>Mumbai</v>
      </c>
      <c r="E11" t="s">
        <v>17</v>
      </c>
      <c r="F11" t="s">
        <v>36</v>
      </c>
      <c r="G11">
        <v>8000</v>
      </c>
      <c r="H11">
        <v>12000</v>
      </c>
      <c r="I11">
        <v>6</v>
      </c>
      <c r="J11">
        <f t="shared" si="1"/>
        <v>72000</v>
      </c>
      <c r="K11">
        <f t="shared" si="2"/>
        <v>48000</v>
      </c>
      <c r="L11">
        <f t="shared" si="3"/>
        <v>24000</v>
      </c>
    </row>
    <row r="12" spans="1:12" x14ac:dyDescent="0.3">
      <c r="A12" s="1">
        <v>45675</v>
      </c>
      <c r="B12" t="s">
        <v>37</v>
      </c>
      <c r="C12" t="s">
        <v>13</v>
      </c>
      <c r="D12" t="str">
        <f t="shared" si="0"/>
        <v>Delhi</v>
      </c>
      <c r="E12" t="s">
        <v>10</v>
      </c>
      <c r="F12" t="s">
        <v>14</v>
      </c>
      <c r="G12">
        <v>55000</v>
      </c>
      <c r="H12">
        <v>74000</v>
      </c>
      <c r="I12">
        <v>2</v>
      </c>
      <c r="J12">
        <f t="shared" si="1"/>
        <v>148000</v>
      </c>
      <c r="K12">
        <f t="shared" si="2"/>
        <v>110000</v>
      </c>
      <c r="L12">
        <f t="shared" si="3"/>
        <v>38000</v>
      </c>
    </row>
    <row r="13" spans="1:12" x14ac:dyDescent="0.3">
      <c r="A13" s="1">
        <v>45677</v>
      </c>
      <c r="B13" t="s">
        <v>38</v>
      </c>
      <c r="C13" t="s">
        <v>39</v>
      </c>
      <c r="D13" t="str">
        <f t="shared" si="0"/>
        <v>Bangalore</v>
      </c>
      <c r="E13" t="s">
        <v>10</v>
      </c>
      <c r="F13" t="s">
        <v>21</v>
      </c>
      <c r="G13">
        <v>85000</v>
      </c>
      <c r="H13">
        <v>105000</v>
      </c>
      <c r="I13">
        <v>3</v>
      </c>
      <c r="J13">
        <f t="shared" si="1"/>
        <v>315000</v>
      </c>
      <c r="K13">
        <f t="shared" si="2"/>
        <v>255000</v>
      </c>
      <c r="L13">
        <f t="shared" si="3"/>
        <v>60000</v>
      </c>
    </row>
    <row r="14" spans="1:12" x14ac:dyDescent="0.3">
      <c r="A14" s="1">
        <v>45679</v>
      </c>
      <c r="B14" t="s">
        <v>40</v>
      </c>
      <c r="C14" t="s">
        <v>41</v>
      </c>
      <c r="D14" t="str">
        <f t="shared" si="0"/>
        <v>Mumbai</v>
      </c>
      <c r="E14" t="s">
        <v>24</v>
      </c>
      <c r="F14" t="s">
        <v>42</v>
      </c>
      <c r="G14">
        <v>1500</v>
      </c>
      <c r="H14">
        <v>3000</v>
      </c>
      <c r="I14">
        <v>15</v>
      </c>
      <c r="J14">
        <f t="shared" si="1"/>
        <v>45000</v>
      </c>
      <c r="K14">
        <f t="shared" si="2"/>
        <v>22500</v>
      </c>
      <c r="L14">
        <f t="shared" si="3"/>
        <v>22500</v>
      </c>
    </row>
    <row r="15" spans="1:12" x14ac:dyDescent="0.3">
      <c r="A15" s="1">
        <v>45682</v>
      </c>
      <c r="B15" t="s">
        <v>43</v>
      </c>
      <c r="C15" t="s">
        <v>13</v>
      </c>
      <c r="D15" t="str">
        <f t="shared" si="0"/>
        <v>Delhi</v>
      </c>
      <c r="E15" t="s">
        <v>17</v>
      </c>
      <c r="F15" t="s">
        <v>28</v>
      </c>
      <c r="G15">
        <v>800</v>
      </c>
      <c r="H15">
        <v>1500</v>
      </c>
      <c r="I15">
        <v>30</v>
      </c>
      <c r="J15">
        <f t="shared" si="1"/>
        <v>45000</v>
      </c>
      <c r="K15">
        <f t="shared" si="2"/>
        <v>24000</v>
      </c>
      <c r="L15">
        <f t="shared" si="3"/>
        <v>21000</v>
      </c>
    </row>
    <row r="16" spans="1:12" x14ac:dyDescent="0.3">
      <c r="A16" s="1">
        <v>45685</v>
      </c>
      <c r="B16" t="s">
        <v>44</v>
      </c>
      <c r="C16" t="s">
        <v>27</v>
      </c>
      <c r="D16" t="str">
        <f t="shared" si="0"/>
        <v>Bangalore</v>
      </c>
      <c r="E16" t="s">
        <v>10</v>
      </c>
      <c r="F16" t="s">
        <v>30</v>
      </c>
      <c r="G16">
        <v>45000</v>
      </c>
      <c r="H16">
        <v>66000</v>
      </c>
      <c r="I16">
        <v>2</v>
      </c>
      <c r="J16">
        <f t="shared" si="1"/>
        <v>132000</v>
      </c>
      <c r="K16">
        <f t="shared" si="2"/>
        <v>90000</v>
      </c>
      <c r="L16">
        <f t="shared" si="3"/>
        <v>42000</v>
      </c>
    </row>
    <row r="17" spans="1:12" x14ac:dyDescent="0.3">
      <c r="A17" s="1">
        <v>45690</v>
      </c>
      <c r="B17" t="s">
        <v>45</v>
      </c>
      <c r="C17" t="s">
        <v>9</v>
      </c>
      <c r="D17" t="str">
        <f t="shared" si="0"/>
        <v>Mumbai</v>
      </c>
      <c r="E17" t="s">
        <v>10</v>
      </c>
      <c r="F17" t="s">
        <v>11</v>
      </c>
      <c r="G17">
        <v>65000</v>
      </c>
      <c r="H17">
        <v>82000</v>
      </c>
      <c r="I17">
        <v>5</v>
      </c>
      <c r="J17">
        <f t="shared" si="1"/>
        <v>410000</v>
      </c>
      <c r="K17">
        <f t="shared" si="2"/>
        <v>325000</v>
      </c>
      <c r="L17">
        <f t="shared" si="3"/>
        <v>85000</v>
      </c>
    </row>
    <row r="18" spans="1:12" x14ac:dyDescent="0.3">
      <c r="A18" s="1">
        <v>45693</v>
      </c>
      <c r="B18" t="s">
        <v>46</v>
      </c>
      <c r="C18" t="s">
        <v>13</v>
      </c>
      <c r="D18" t="str">
        <f t="shared" si="0"/>
        <v>Delhi</v>
      </c>
      <c r="E18" t="s">
        <v>24</v>
      </c>
      <c r="F18" t="s">
        <v>25</v>
      </c>
      <c r="G18">
        <v>15000</v>
      </c>
      <c r="H18">
        <v>21000</v>
      </c>
      <c r="I18">
        <v>8</v>
      </c>
      <c r="J18">
        <f t="shared" si="1"/>
        <v>168000</v>
      </c>
      <c r="K18">
        <f t="shared" si="2"/>
        <v>120000</v>
      </c>
      <c r="L18">
        <f t="shared" si="3"/>
        <v>48000</v>
      </c>
    </row>
    <row r="19" spans="1:12" x14ac:dyDescent="0.3">
      <c r="A19" s="1">
        <v>45696</v>
      </c>
      <c r="B19" t="s">
        <v>47</v>
      </c>
      <c r="C19" t="s">
        <v>16</v>
      </c>
      <c r="D19" t="str">
        <f t="shared" si="0"/>
        <v>Bangalore</v>
      </c>
      <c r="E19" t="s">
        <v>17</v>
      </c>
      <c r="F19" t="s">
        <v>18</v>
      </c>
      <c r="G19">
        <v>30000</v>
      </c>
      <c r="H19">
        <v>46000</v>
      </c>
      <c r="I19">
        <v>3</v>
      </c>
      <c r="J19">
        <f t="shared" si="1"/>
        <v>138000</v>
      </c>
      <c r="K19">
        <f t="shared" si="2"/>
        <v>90000</v>
      </c>
      <c r="L19">
        <f t="shared" si="3"/>
        <v>48000</v>
      </c>
    </row>
    <row r="20" spans="1:12" x14ac:dyDescent="0.3">
      <c r="A20" s="1">
        <v>45700</v>
      </c>
      <c r="B20" t="s">
        <v>48</v>
      </c>
      <c r="C20" t="s">
        <v>20</v>
      </c>
      <c r="D20" t="str">
        <f t="shared" si="0"/>
        <v>Mumbai</v>
      </c>
      <c r="E20" t="s">
        <v>10</v>
      </c>
      <c r="F20" t="s">
        <v>21</v>
      </c>
      <c r="G20">
        <v>85000</v>
      </c>
      <c r="H20">
        <v>112000</v>
      </c>
      <c r="I20">
        <v>2</v>
      </c>
      <c r="J20">
        <f t="shared" si="1"/>
        <v>224000</v>
      </c>
      <c r="K20">
        <f t="shared" si="2"/>
        <v>170000</v>
      </c>
      <c r="L20">
        <f t="shared" si="3"/>
        <v>54000</v>
      </c>
    </row>
    <row r="21" spans="1:12" x14ac:dyDescent="0.3">
      <c r="A21" s="1">
        <v>45703</v>
      </c>
      <c r="B21" t="s">
        <v>49</v>
      </c>
      <c r="C21" t="s">
        <v>23</v>
      </c>
      <c r="D21" t="str">
        <f t="shared" si="0"/>
        <v>Delhi</v>
      </c>
      <c r="E21" t="s">
        <v>10</v>
      </c>
      <c r="F21" t="s">
        <v>14</v>
      </c>
      <c r="G21">
        <v>55000</v>
      </c>
      <c r="H21">
        <v>76000</v>
      </c>
      <c r="I21">
        <v>4</v>
      </c>
      <c r="J21">
        <f t="shared" si="1"/>
        <v>304000</v>
      </c>
      <c r="K21">
        <f t="shared" si="2"/>
        <v>220000</v>
      </c>
      <c r="L21">
        <f t="shared" si="3"/>
        <v>84000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91DDB-3EC9-46E6-8F2E-55D36E808AA1}">
  <dimension ref="A1:H5"/>
  <sheetViews>
    <sheetView tabSelected="1" zoomScale="101" workbookViewId="0">
      <selection activeCell="F9" sqref="F9"/>
    </sheetView>
  </sheetViews>
  <sheetFormatPr defaultRowHeight="14.4" x14ac:dyDescent="0.3"/>
  <cols>
    <col min="1" max="1" width="12.44140625" bestFit="1" customWidth="1"/>
    <col min="2" max="2" width="14.77734375" bestFit="1" customWidth="1"/>
    <col min="3" max="3" width="12" bestFit="1" customWidth="1"/>
    <col min="4" max="4" width="15" bestFit="1" customWidth="1"/>
    <col min="5" max="5" width="12.44140625" bestFit="1" customWidth="1"/>
    <col min="6" max="6" width="14.109375" bestFit="1" customWidth="1"/>
    <col min="7" max="7" width="11.5546875" customWidth="1"/>
    <col min="8" max="8" width="12.44140625" bestFit="1" customWidth="1"/>
    <col min="9" max="9" width="14.77734375" bestFit="1" customWidth="1"/>
    <col min="10" max="10" width="12" bestFit="1" customWidth="1"/>
  </cols>
  <sheetData>
    <row r="1" spans="1:8" x14ac:dyDescent="0.3">
      <c r="A1" s="3" t="s">
        <v>54</v>
      </c>
      <c r="B1" t="s">
        <v>56</v>
      </c>
      <c r="C1" t="s">
        <v>57</v>
      </c>
      <c r="D1" t="s">
        <v>60</v>
      </c>
      <c r="F1" s="3" t="s">
        <v>54</v>
      </c>
      <c r="G1" t="s">
        <v>56</v>
      </c>
      <c r="H1" t="s">
        <v>57</v>
      </c>
    </row>
    <row r="2" spans="1:8" x14ac:dyDescent="0.3">
      <c r="A2" s="4" t="s">
        <v>27</v>
      </c>
      <c r="B2" s="5">
        <v>909000</v>
      </c>
      <c r="C2" s="5">
        <v>274000</v>
      </c>
      <c r="D2" s="6">
        <v>0.30143014301430143</v>
      </c>
      <c r="F2" s="4" t="s">
        <v>58</v>
      </c>
      <c r="G2" s="5">
        <v>2157000</v>
      </c>
      <c r="H2" s="5">
        <v>592500</v>
      </c>
    </row>
    <row r="3" spans="1:8" x14ac:dyDescent="0.3">
      <c r="A3" s="4" t="s">
        <v>13</v>
      </c>
      <c r="B3" s="5">
        <v>1276000</v>
      </c>
      <c r="C3" s="5">
        <v>337000</v>
      </c>
      <c r="D3" s="6">
        <v>0.26410658307210033</v>
      </c>
      <c r="F3" s="4" t="s">
        <v>59</v>
      </c>
      <c r="G3" s="5">
        <v>1244000</v>
      </c>
      <c r="H3" s="5">
        <v>319000</v>
      </c>
    </row>
    <row r="4" spans="1:8" x14ac:dyDescent="0.3">
      <c r="A4" s="4" t="s">
        <v>20</v>
      </c>
      <c r="B4" s="5">
        <v>1216000</v>
      </c>
      <c r="C4" s="5">
        <v>300500</v>
      </c>
      <c r="D4" s="6">
        <v>0.24712171052631579</v>
      </c>
      <c r="F4" s="4" t="s">
        <v>55</v>
      </c>
      <c r="G4" s="5">
        <v>3401000</v>
      </c>
      <c r="H4" s="5">
        <v>911500</v>
      </c>
    </row>
    <row r="5" spans="1:8" x14ac:dyDescent="0.3">
      <c r="A5" s="4" t="s">
        <v>55</v>
      </c>
      <c r="B5" s="5">
        <v>3401000</v>
      </c>
      <c r="C5" s="5">
        <v>911500</v>
      </c>
      <c r="D5" s="6">
        <v>0.2680094089973537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C02BA-939C-46AD-A850-4561A19181CD}">
  <dimension ref="B2:F2"/>
  <sheetViews>
    <sheetView showGridLines="0" zoomScale="83" workbookViewId="0">
      <selection activeCell="E5" sqref="E5"/>
    </sheetView>
  </sheetViews>
  <sheetFormatPr defaultRowHeight="14.4" x14ac:dyDescent="0.3"/>
  <cols>
    <col min="2" max="2" width="17.88671875" customWidth="1"/>
    <col min="3" max="3" width="14.77734375" customWidth="1"/>
  </cols>
  <sheetData>
    <row r="2" spans="2:6" x14ac:dyDescent="0.3">
      <c r="B2" s="2" t="s">
        <v>61</v>
      </c>
      <c r="C2">
        <f>GETPIVOTDATA("Sum of Revenue",Engine!$A$1)</f>
        <v>3401000</v>
      </c>
      <c r="E2" s="2" t="s">
        <v>53</v>
      </c>
      <c r="F2">
        <f>GETPIVOTDATA("Sum of Profit",Engine!$A$1)</f>
        <v>911500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Engine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Kumar</dc:creator>
  <cp:lastModifiedBy>Saurabh Kumar</cp:lastModifiedBy>
  <dcterms:created xsi:type="dcterms:W3CDTF">2026-01-17T10:35:07Z</dcterms:created>
  <dcterms:modified xsi:type="dcterms:W3CDTF">2026-01-17T11:36:29Z</dcterms:modified>
</cp:coreProperties>
</file>